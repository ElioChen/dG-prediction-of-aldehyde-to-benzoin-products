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b1c804993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500caa5eb7145dc"/>
    <x:sheet xmlns:r="http://schemas.openxmlformats.org/officeDocument/2006/relationships" name="Dataset Design" sheetId="2" r:id="R4f409a496b724382"/>
    <x:sheet xmlns:r="http://schemas.openxmlformats.org/officeDocument/2006/relationships" name="Quality Control" sheetId="3" r:id="R8238dccca50e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173F5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7F6000"/>
      <x:name val="Aptos"/>
    </x:font>
    <x:font>
      <x:sz val="11"/>
      <x:color rgb="FF173F5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6" fillId="0" borderId="4" xfId="0" applyNumberFormat="1" applyFont="1" applyFill="1" applyBorder="1"/>
    <x:xf numFmtId="20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20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d7c3d28164166" /><Relationship Type="http://schemas.openxmlformats.org/officeDocument/2006/relationships/theme" Target="/xl/theme/theme1.xml" Id="R2ef86d5788484a53" /><Relationship Type="http://schemas.openxmlformats.org/officeDocument/2006/relationships/sharedStrings" Target="/xl/sharedStrings.xml" Id="Rb29ffacb22ac4777" /><Relationship Type="http://schemas.openxmlformats.org/officeDocument/2006/relationships/worksheet" Target="/xl/worksheets/sheet1.xml" Id="R6500caa5eb7145dc" /><Relationship Type="http://schemas.openxmlformats.org/officeDocument/2006/relationships/worksheet" Target="/xl/worksheets/sheet2.xml" Id="R4f409a496b724382" /><Relationship Type="http://schemas.openxmlformats.org/officeDocument/2006/relationships/worksheet" Target="/xl/worksheets/sheet3.xml" Id="R8238dccca50e4f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8" hidden="0" customWidth="1"/>
    <x:col min="4" max="4" width="18" hidden="0" customWidth="1"/>
  </x:cols>
  <x:sheetData>
    <x:row r="1" ht="30" customHeight="1">
      <x:c r="A1" s="34" t="str">
        <x:v>Cross-benzoin ΔG Candidate Dataset v3</x:v>
      </x:c>
      <x:c r="B1" s="34"/>
      <x:c r="C1" s="34"/>
      <x:c r="D1" s="34"/>
    </x:row>
    <x:row r="2">
      <x:c r="A2" s="35"/>
      <x:c r="B2" s="35"/>
      <x:c r="C2" s="35"/>
      <x:c r="D2" s="35"/>
    </x:row>
    <x:row r="3">
      <x:c r="A3" s="36" t="str">
        <x:v>Metric</x:v>
      </x:c>
      <x:c r="B3" s="36" t="str">
        <x:v>Value</x:v>
      </x:c>
      <x:c r="C3" s="35"/>
      <x:c r="D3" s="35"/>
    </x:row>
    <x:row r="4">
      <x:c r="A4" s="35" t="str">
        <x:v>Source aldehydes</x:v>
      </x:c>
      <x:c r="B4" s="37" t="n">
        <x:v>220859</x:v>
      </x:c>
      <x:c r="C4" s="35"/>
      <x:c r="D4" s="35"/>
    </x:row>
    <x:row r="5">
      <x:c r="A5" s="35" t="str">
        <x:v>Molecule coverage</x:v>
      </x:c>
      <x:c r="B5" s="37" t="n">
        <x:v>220859</x:v>
      </x:c>
      <x:c r="C5" s="35"/>
      <x:c r="D5" s="35"/>
    </x:row>
    <x:row r="6">
      <x:c r="A6" s="35" t="str">
        <x:v>Coverage rate</x:v>
      </x:c>
      <x:c r="B6" s="38" t="n">
        <x:v>1</x:v>
      </x:c>
      <x:c r="C6" s="35"/>
      <x:c r="D6" s="35"/>
    </x:row>
    <x:row r="7">
      <x:c r="A7" s="35" t="str">
        <x:v>Unique unordered pairs</x:v>
      </x:c>
      <x:c r="B7" s="37" t="n">
        <x:v>2000000</x:v>
      </x:c>
      <x:c r="C7" s="35"/>
      <x:c r="D7" s="35"/>
    </x:row>
    <x:row r="8">
      <x:c r="A8" s="35" t="str">
        <x:v>Directed reaction rows</x:v>
      </x:c>
      <x:c r="B8" s="37" t="n">
        <x:v>4000000</x:v>
      </x:c>
      <x:c r="C8" s="35"/>
      <x:c r="D8" s="35"/>
    </x:row>
    <x:row r="9">
      <x:c r="A9" s="35" t="str">
        <x:v>Train rows</x:v>
      </x:c>
      <x:c r="B9" s="37" t="n">
        <x:v>3200000</x:v>
      </x:c>
      <x:c r="C9" s="35"/>
      <x:c r="D9" s="35"/>
    </x:row>
    <x:row r="10">
      <x:c r="A10" s="35" t="str">
        <x:v>Validation rows</x:v>
      </x:c>
      <x:c r="B10" s="37" t="n">
        <x:v>400000</x:v>
      </x:c>
      <x:c r="C10" s="35"/>
      <x:c r="D10" s="35"/>
    </x:row>
    <x:row r="11">
      <x:c r="A11" s="35" t="str">
        <x:v>Test rows</x:v>
      </x:c>
      <x:c r="B11" s="37" t="n">
        <x:v>400000</x:v>
      </x:c>
      <x:c r="C11" s="35"/>
      <x:c r="D11" s="35"/>
    </x:row>
    <x:row r="12">
      <x:c r="A12" s="35" t="str">
        <x:v>Random seed</x:v>
      </x:c>
      <x:c r="B12" s="39" t="n">
        <x:v>20260713</x:v>
      </x:c>
      <x:c r="C12" s="35"/>
      <x:c r="D12" s="35"/>
    </x:row>
    <x:row r="13">
      <x:c r="A13" s="35"/>
      <x:c r="B13" s="35"/>
      <x:c r="C13" s="35"/>
      <x:c r="D13" s="35"/>
    </x:row>
    <x:row r="14">
      <x:c r="A14" s="36" t="str">
        <x:v>Source class</x:v>
      </x:c>
      <x:c r="B14" s="36" t="str">
        <x:v>Molecules</x:v>
      </x:c>
      <x:c r="C14" s="35"/>
      <x:c r="D14" s="35"/>
    </x:row>
    <x:row r="15">
      <x:c r="A15" s="35" t="str">
        <x:v>Aliphatic</x:v>
      </x:c>
      <x:c r="B15" s="37" t="n">
        <x:v>73891</x:v>
      </x:c>
      <x:c r="C15" s="35"/>
      <x:c r="D15" s="35"/>
    </x:row>
    <x:row r="16">
      <x:c r="A16" s="35" t="str">
        <x:v>Aromatic carbo</x:v>
      </x:c>
      <x:c r="B16" s="37" t="n">
        <x:v>87987</x:v>
      </x:c>
      <x:c r="C16" s="35"/>
      <x:c r="D16" s="35"/>
    </x:row>
    <x:row r="17">
      <x:c r="A17" s="35" t="str">
        <x:v>Aromatic hetero</x:v>
      </x:c>
      <x:c r="B17" s="37" t="n">
        <x:v>58981</x:v>
      </x:c>
      <x:c r="C17" s="35"/>
      <x:c r="D17" s="35"/>
    </x:row>
    <x:row r="18">
      <x:c r="A18" s="35"/>
      <x:c r="B18" s="35"/>
      <x:c r="C18" s="35"/>
      <x:c r="D18" s="35"/>
    </x:row>
    <x:row r="19">
      <x:c r="A19" s="40" t="str">
        <x:v>v3 retains all input aldehydes, including aliphatic and xtb-risk-flagged records. Each unordered pair is expanded into both donor/acceptor orientations; ΔG remains blank for downstream computation.</x:v>
      </x:c>
      <x:c r="B19" s="40"/>
      <x:c r="C19" s="40"/>
      <x:c r="D19" s="40"/>
    </x:row>
    <x:row r="20">
      <x:c r="A20" s="40"/>
      <x:c r="B20" s="40"/>
      <x:c r="C20" s="40"/>
      <x:c r="D20" s="40"/>
    </x:row>
    <x:row r="21">
      <x:c r="A21" s="40"/>
      <x:c r="B21" s="40"/>
      <x:c r="C21" s="40"/>
      <x:c r="D21" s="40"/>
    </x:row>
  </x:sheetData>
  <x:mergeCells>
    <x:mergeCell ref="A1:D1"/>
    <x:mergeCell ref="A19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52" hidden="0" customWidth="1"/>
  </x:cols>
  <x:sheetData>
    <x:row r="1" ht="30" customHeight="1">
      <x:c r="A1" s="34" t="str">
        <x:v>Dataset Design</x:v>
      </x:c>
      <x:c r="B1" s="34"/>
      <x:c r="C1" s="34"/>
    </x:row>
    <x:row r="2">
      <x:c r="A2" s="35"/>
      <x:c r="B2" s="35"/>
      <x:c r="C2" s="35"/>
    </x:row>
    <x:row r="3">
      <x:c r="A3" s="41" t="str">
        <x:v>Design element</x:v>
      </x:c>
      <x:c r="B3" s="42" t="str">
        <x:v>Implementation</x:v>
      </x:c>
      <x:c r="C3" s="43" t="str">
        <x:v>Reason</x:v>
      </x:c>
    </x:row>
    <x:row r="4" ht="33" customHeight="1">
      <x:c r="A4" s="44" t="str">
        <x:v>Source scope</x:v>
      </x:c>
      <x:c r="B4" s="45" t="str">
        <x:v>All 220,859 source aldehydes</x:v>
      </x:c>
      <x:c r="C4" s="46" t="str">
        <x:v>Maximize structural coverage</x:v>
      </x:c>
    </x:row>
    <x:row r="5" ht="33" customHeight="1">
      <x:c r="A5" s="44" t="str">
        <x:v>Classes</x:v>
      </x:c>
      <x:c r="B5" s="45" t="str">
        <x:v>Aliphatic + aromatic carbo + aromatic hetero</x:v>
      </x:c>
      <x:c r="C5" s="46" t="str">
        <x:v>No mechanistic class excluded a priori</x:v>
      </x:c>
    </x:row>
    <x:row r="6" ht="33" customHeight="1">
      <x:c r="A6" s="44" t="str">
        <x:v>Risk/MW filters</x:v>
      </x:c>
      <x:c r="B6" s="45" t="str">
        <x:v>None</x:v>
      </x:c>
      <x:c r="C6" s="46" t="str">
        <x:v>Retain broad chemical space for ΔG modeling</x:v>
      </x:c>
    </x:row>
    <x:row r="7" ht="33" customHeight="1">
      <x:c r="A7" s="44" t="str">
        <x:v>Class strata</x:v>
      </x:c>
      <x:c r="B7" s="45" t="str">
        <x:v>Six unordered combinations</x:v>
      </x:c>
      <x:c r="C7" s="46" t="str">
        <x:v>Balanced coverage of cross-class and same-class chemistry</x:v>
      </x:c>
    </x:row>
    <x:row r="8" ht="33" customHeight="1">
      <x:c r="A8" s="44" t="str">
        <x:v>Self pairs</x:v>
      </x:c>
      <x:c r="B8" s="45" t="str">
        <x:v>Excluded</x:v>
      </x:c>
      <x:c r="C8" s="46" t="str">
        <x:v>Cross-benzoin candidates use two different InChIKeys</x:v>
      </x:c>
    </x:row>
    <x:row r="9" ht="33" customHeight="1">
      <x:c r="A9" s="44" t="str">
        <x:v>Directionality</x:v>
      </x:c>
      <x:c r="B9" s="45" t="str">
        <x:v>Two rows per unordered pair</x:v>
      </x:c>
      <x:c r="C9" s="46" t="str">
        <x:v>Represent both possible donor/acceptor orientations</x:v>
      </x:c>
    </x:row>
    <x:row r="10" ht="33" customHeight="1">
      <x:c r="A10" s="44" t="str">
        <x:v>Target</x:v>
      </x:c>
      <x:c r="B10" s="45" t="str">
        <x:v>dG_kcal_mol blank</x:v>
      </x:c>
      <x:c r="C10" s="46" t="str">
        <x:v>No synthetic labels; populate after computation</x:v>
      </x:c>
    </x:row>
    <x:row r="11" ht="33" customHeight="1">
      <x:c r="A11" s="44" t="str">
        <x:v>Split</x:v>
      </x:c>
      <x:c r="B11" s="45" t="str">
        <x:v>SHA-256(InChIKey), 80/10/10</x:v>
      </x:c>
      <x:c r="C11" s="46" t="str">
        <x:v>Molecule-disjoint evaluation</x:v>
      </x:c>
    </x:row>
    <x:row r="12" ht="33" customHeight="1">
      <x:c r="A12" s="47" t="str">
        <x:v>Provenance</x:v>
      </x:c>
      <x:c r="B12" s="48" t="str">
        <x:v>PubChem in supplied source</x:v>
      </x:c>
      <x:c r="C12" s="49" t="str">
        <x:v>Additional provenance needs source enrichment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30" customHeight="1">
      <x:c r="A1" s="34" t="str">
        <x:v>Quality-control Checks</x:v>
      </x:c>
      <x:c r="B1" s="34"/>
      <x:c r="C1" s="34"/>
      <x:c r="D1" s="34"/>
    </x:row>
    <x:row r="2">
      <x:c r="A2" s="35"/>
      <x:c r="B2" s="35"/>
      <x:c r="C2" s="35"/>
      <x:c r="D2" s="35"/>
    </x:row>
    <x:row r="3">
      <x:c r="A3" s="50" t="str">
        <x:v>Check</x:v>
      </x:c>
      <x:c r="B3" s="51" t="str">
        <x:v>Observed</x:v>
      </x:c>
      <x:c r="C3" s="51" t="str">
        <x:v>Expected</x:v>
      </x:c>
      <x:c r="D3" s="52" t="str">
        <x:v>Status</x:v>
      </x:c>
    </x:row>
    <x:row r="4">
      <x:c r="A4" s="53" t="str">
        <x:v>Directed rows</x:v>
      </x:c>
      <x:c r="B4" s="54" t="n">
        <x:v>4000000</x:v>
      </x:c>
      <x:c r="C4" s="54" t="n">
        <x:v>4000000</x:v>
      </x:c>
      <x:c r="D4" s="55" t="str">
        <x:f>IF(B4=C4,"PASS","FAIL")</x:f>
        <x:v>PASS</x:v>
      </x:c>
    </x:row>
    <x:row r="5">
      <x:c r="A5" s="53" t="str">
        <x:v>Unique unordered pairs</x:v>
      </x:c>
      <x:c r="B5" s="54" t="n">
        <x:v>2000000</x:v>
      </x:c>
      <x:c r="C5" s="54" t="n">
        <x:v>2000000</x:v>
      </x:c>
      <x:c r="D5" s="55" t="str">
        <x:f>IF(B5=C5,"PASS","FAIL")</x:f>
        <x:v>PASS</x:v>
      </x:c>
    </x:row>
    <x:row r="6">
      <x:c r="A6" s="53" t="str">
        <x:v>Source molecules covered</x:v>
      </x:c>
      <x:c r="B6" s="54" t="n">
        <x:v>220859</x:v>
      </x:c>
      <x:c r="C6" s="54" t="n">
        <x:v>220859</x:v>
      </x:c>
      <x:c r="D6" s="55" t="str">
        <x:f>IF(B6=C6,"PASS","FAIL")</x:f>
        <x:v>PASS</x:v>
      </x:c>
    </x:row>
    <x:row r="7">
      <x:c r="A7" s="53" t="str">
        <x:v>Missing source molecules</x:v>
      </x:c>
      <x:c r="B7" s="54" t="n">
        <x:v>0</x:v>
      </x:c>
      <x:c r="C7" s="54" t="n">
        <x:v>0</x:v>
      </x:c>
      <x:c r="D7" s="55" t="str">
        <x:f>IF(B7=C7,"PASS","FAIL")</x:f>
        <x:v>PASS</x:v>
      </x:c>
    </x:row>
    <x:row r="8">
      <x:c r="A8" s="53" t="str">
        <x:v>Train-validation overlap</x:v>
      </x:c>
      <x:c r="B8" s="54" t="n">
        <x:v>0</x:v>
      </x:c>
      <x:c r="C8" s="54" t="n">
        <x:v>0</x:v>
      </x:c>
      <x:c r="D8" s="55" t="str">
        <x:f>IF(B8=C8,"PASS","FAIL")</x:f>
        <x:v>PASS</x:v>
      </x:c>
    </x:row>
    <x:row r="9">
      <x:c r="A9" s="53" t="str">
        <x:v>Train-test overlap</x:v>
      </x:c>
      <x:c r="B9" s="54" t="n">
        <x:v>0</x:v>
      </x:c>
      <x:c r="C9" s="54" t="n">
        <x:v>0</x:v>
      </x:c>
      <x:c r="D9" s="55" t="str">
        <x:f>IF(B9=C9,"PASS","FAIL")</x:f>
        <x:v>PASS</x:v>
      </x:c>
    </x:row>
    <x:row r="10">
      <x:c r="A10" s="53" t="str">
        <x:v>Validation-test overlap</x:v>
      </x:c>
      <x:c r="B10" s="54" t="n">
        <x:v>0</x:v>
      </x:c>
      <x:c r="C10" s="54" t="n">
        <x:v>0</x:v>
      </x:c>
      <x:c r="D10" s="55" t="str">
        <x:f>IF(B10=C10,"PASS","FAIL")</x:f>
        <x:v>PASS</x:v>
      </x:c>
    </x:row>
    <x:row r="11">
      <x:c r="A11" s="53" t="str">
        <x:v>Rows per unordered pair</x:v>
      </x:c>
      <x:c r="B11" s="54" t="n">
        <x:v>2</x:v>
      </x:c>
      <x:c r="C11" s="54" t="n">
        <x:v>2</x:v>
      </x:c>
      <x:c r="D11" s="55" t="str">
        <x:f>IF(B11=C11,"PASS","FAIL")</x:f>
        <x:v>PASS</x:v>
      </x:c>
    </x:row>
    <x:row r="12">
      <x:c r="A12" s="56" t="str">
        <x:v>Input provenance categories</x:v>
      </x:c>
      <x:c r="B12" s="57" t="n">
        <x:v>1</x:v>
      </x:c>
      <x:c r="C12" s="57" t="n">
        <x:v>1</x:v>
      </x:c>
      <x:c r="D12" s="58" t="str">
        <x:f>IF(B12=C12,"PASS","FAIL")</x:f>
        <x:v>PASS</x:v>
      </x:c>
    </x:row>
    <x:row r="13">
      <x:c r="A13" s="35"/>
      <x:c r="B13" s="35"/>
      <x:c r="C13" s="35"/>
      <x:c r="D13" s="35"/>
    </x:row>
    <x:row r="14">
      <x:c r="A14" s="59" t="str">
        <x:v>Reaction CSV.gz SHA-256: 75e702ff3dbea8f153caed2cd75e3cf111ff1bf824656cca0a2c06c86916ab97
Molecule CSV.gz SHA-256: 43f92f36ec58430475847b87e901456eecc87ff906b335096556e1675f010c78</x:v>
      </x:c>
      <x:c r="B14" s="59"/>
      <x:c r="C14" s="59"/>
      <x:c r="D14" s="59"/>
    </x:row>
    <x:row r="15">
      <x:c r="A15" s="59"/>
      <x:c r="B15" s="59"/>
      <x:c r="C15" s="59"/>
      <x:c r="D15" s="59"/>
    </x:row>
    <x:row r="16">
      <x:c r="A16" s="59"/>
      <x:c r="B16" s="59"/>
      <x:c r="C16" s="59"/>
      <x:c r="D16" s="59"/>
    </x:row>
  </x:sheetData>
  <x:mergeCells>
    <x:mergeCell ref="A1:D1"/>
    <x:mergeCell ref="A14:D16"/>
  </x:mergeCells>
  <x:conditionalFormatting sqref="D4:D12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